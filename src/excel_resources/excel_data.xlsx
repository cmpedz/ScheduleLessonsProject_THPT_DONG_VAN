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java memory\java learning\java project\TeacherWorkingDistributionSchedule\src\excel_resources\"/>
    </mc:Choice>
  </mc:AlternateContent>
  <xr:revisionPtr revIDLastSave="0" documentId="13_ncr:1_{7FC5D553-17FE-4946-B674-2E2A9B8E2F5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7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49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46" i="1"/>
  <c r="B82" i="1"/>
  <c r="C8" i="1"/>
  <c r="C7" i="1"/>
  <c r="E47" i="1"/>
  <c r="E48" i="1"/>
  <c r="E46" i="1"/>
  <c r="B81" i="1"/>
</calcChain>
</file>

<file path=xl/sharedStrings.xml><?xml version="1.0" encoding="utf-8"?>
<sst xmlns="http://schemas.openxmlformats.org/spreadsheetml/2006/main" count="213" uniqueCount="72">
  <si>
    <t>10A1</t>
  </si>
  <si>
    <t>10A2</t>
  </si>
  <si>
    <t>10A3</t>
  </si>
  <si>
    <t>10A4</t>
  </si>
  <si>
    <t>10A5</t>
  </si>
  <si>
    <t>10A6</t>
  </si>
  <si>
    <t>10A7</t>
  </si>
  <si>
    <t>11B1</t>
  </si>
  <si>
    <t>11B2</t>
  </si>
  <si>
    <t>11B3</t>
  </si>
  <si>
    <t>11B4</t>
  </si>
  <si>
    <t>11B5</t>
  </si>
  <si>
    <t>11B6</t>
  </si>
  <si>
    <t>11B7</t>
  </si>
  <si>
    <t>12C1</t>
  </si>
  <si>
    <t>12C2</t>
  </si>
  <si>
    <t>12C3</t>
  </si>
  <si>
    <t>12C4</t>
  </si>
  <si>
    <t>12C5</t>
  </si>
  <si>
    <t>12C6</t>
  </si>
  <si>
    <t>Sáng</t>
  </si>
  <si>
    <t>Chiều</t>
  </si>
  <si>
    <t>Thứ Ba</t>
  </si>
  <si>
    <t>Thứ Hai</t>
  </si>
  <si>
    <t>Thứ Tư</t>
  </si>
  <si>
    <t>Thứ Năm</t>
  </si>
  <si>
    <t>Thứ Sáu</t>
  </si>
  <si>
    <t>Thứ Bảy</t>
  </si>
  <si>
    <t>Tên Giáo Viên</t>
  </si>
  <si>
    <t>Lớp dạy</t>
  </si>
  <si>
    <t>Môn học</t>
  </si>
  <si>
    <t xml:space="preserve">Số tiết trên tuần </t>
  </si>
  <si>
    <t>Số tiết trên năm</t>
  </si>
  <si>
    <t>Tiết học tránh dạy</t>
  </si>
  <si>
    <t>Các lớp hiện có</t>
  </si>
  <si>
    <t>Tổ hiện có</t>
  </si>
  <si>
    <t>Xã Hội</t>
  </si>
  <si>
    <t>Tự Nhiên</t>
  </si>
  <si>
    <t>Tên môn học</t>
  </si>
  <si>
    <t>Độ ưu tiên sắp xếp</t>
  </si>
  <si>
    <t>Buổi chủ yếu dạy</t>
  </si>
  <si>
    <t xml:space="preserve"> Số tiết dạy tối đa</t>
  </si>
  <si>
    <t>Môn chính</t>
  </si>
  <si>
    <t>Thuộc Tổ</t>
  </si>
  <si>
    <t>Toán</t>
  </si>
  <si>
    <t xml:space="preserve">Buổi </t>
  </si>
  <si>
    <t>Môn Chính</t>
  </si>
  <si>
    <t>Văn</t>
  </si>
  <si>
    <t>Anh</t>
  </si>
  <si>
    <t>Sử</t>
  </si>
  <si>
    <t>Địa</t>
  </si>
  <si>
    <t>Lý</t>
  </si>
  <si>
    <t>Hóa</t>
  </si>
  <si>
    <t>Tin</t>
  </si>
  <si>
    <t>CD Toán</t>
  </si>
  <si>
    <t>CD Văn</t>
  </si>
  <si>
    <t>CD Địa</t>
  </si>
  <si>
    <t>CD Sử</t>
  </si>
  <si>
    <t>CD Lý</t>
  </si>
  <si>
    <t>CD Hóa</t>
  </si>
  <si>
    <t>Sinh</t>
  </si>
  <si>
    <t>CN</t>
  </si>
  <si>
    <t>TD</t>
  </si>
  <si>
    <t>Ngày Nghỉ</t>
  </si>
  <si>
    <t>Ngày Làm Việc</t>
  </si>
  <si>
    <t>Mã Đức Bảo</t>
  </si>
  <si>
    <t>11B1,11B2,11B6,12C1,12C2,12C3</t>
  </si>
  <si>
    <t>Lớp</t>
  </si>
  <si>
    <t>Môn Học</t>
  </si>
  <si>
    <t>Tổ</t>
  </si>
  <si>
    <t>Khác</t>
  </si>
  <si>
    <t>Giáo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</si>
</sst>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82"/>
  <sheetViews>
    <sheetView tabSelected="1" topLeftCell="A52" zoomScale="77" zoomScaleNormal="115" workbookViewId="0">
      <selection activeCell="C69" sqref="C69"/>
    </sheetView>
  </sheetViews>
  <sheetFormatPr defaultRowHeight="14.5" x14ac:dyDescent="0.35"/>
  <cols>
    <col min="1" max="1" width="13.26953125" customWidth="1"/>
    <col min="2" max="2" width="28.26953125" customWidth="1"/>
    <col min="3" max="3" width="20.1796875" customWidth="1"/>
    <col min="4" max="4" width="16.36328125" customWidth="1"/>
    <col min="5" max="5" width="15.26953125" customWidth="1"/>
    <col min="6" max="6" width="17.6328125" customWidth="1"/>
    <col min="7" max="7" width="10.54296875" customWidth="1"/>
    <col min="8" max="8" width="11.81640625" customWidth="1"/>
    <col min="9" max="9" width="26.453125" customWidth="1"/>
    <col min="10" max="10" width="6.54296875" customWidth="1"/>
    <col min="11" max="11" width="15.90625" customWidth="1"/>
    <col min="12" max="12" width="12.7265625" customWidth="1"/>
    <col min="13" max="13" width="19.1796875" customWidth="1"/>
    <col min="14" max="14" width="16.08984375" customWidth="1"/>
    <col min="15" max="15" width="16.1796875" customWidth="1"/>
    <col min="16" max="16" width="10.90625" customWidth="1"/>
    <col min="17" max="17" width="13.54296875" customWidth="1"/>
    <col min="20" max="20" width="17.08984375" customWidth="1"/>
    <col min="21" max="21" width="9.90625" customWidth="1"/>
  </cols>
  <sheetData>
    <row r="5" spans="1:7" x14ac:dyDescent="0.35">
      <c r="A5" s="9" t="s">
        <v>71</v>
      </c>
    </row>
    <row r="6" spans="1:7" x14ac:dyDescent="0.3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1" t="s">
        <v>63</v>
      </c>
    </row>
    <row r="7" spans="1:7" x14ac:dyDescent="0.35">
      <c r="A7" s="2" t="s">
        <v>65</v>
      </c>
      <c r="B7" s="1" t="s">
        <v>66</v>
      </c>
      <c r="C7" s="1" t="str">
        <f>A47</f>
        <v>Văn</v>
      </c>
      <c r="D7" s="1">
        <v>3</v>
      </c>
      <c r="E7" s="1">
        <v>315</v>
      </c>
      <c r="F7" s="1"/>
      <c r="G7" s="1" t="str">
        <f>A75</f>
        <v>Thứ Năm</v>
      </c>
    </row>
    <row r="8" spans="1:7" x14ac:dyDescent="0.35">
      <c r="A8" s="2" t="s">
        <v>65</v>
      </c>
      <c r="B8" s="1" t="s">
        <v>12</v>
      </c>
      <c r="C8" s="1" t="str">
        <f>A55</f>
        <v>CD Văn</v>
      </c>
      <c r="D8" s="1">
        <v>1</v>
      </c>
      <c r="E8" s="1">
        <v>35</v>
      </c>
      <c r="F8" s="1"/>
      <c r="G8" s="1" t="str">
        <f>A75</f>
        <v>Thứ Năm</v>
      </c>
    </row>
    <row r="9" spans="1:7" x14ac:dyDescent="0.35">
      <c r="A9" s="1"/>
      <c r="B9" s="1"/>
      <c r="C9" s="1"/>
      <c r="D9" s="2"/>
      <c r="E9" s="1"/>
      <c r="F9" s="1"/>
      <c r="G9" s="1"/>
    </row>
    <row r="10" spans="1:7" x14ac:dyDescent="0.35">
      <c r="A10" s="1"/>
      <c r="B10" s="1"/>
      <c r="C10" s="1"/>
      <c r="D10" s="1"/>
      <c r="E10" s="1"/>
      <c r="F10" s="1"/>
      <c r="G10" s="1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21" x14ac:dyDescent="0.35">
      <c r="A17" s="1"/>
      <c r="B17" s="1"/>
      <c r="C17" s="1"/>
      <c r="D17" s="1"/>
      <c r="E17" s="1"/>
      <c r="F17" s="1"/>
      <c r="G17" s="1"/>
    </row>
    <row r="18" spans="1:21" x14ac:dyDescent="0.35">
      <c r="A18" s="1"/>
      <c r="B18" s="1"/>
      <c r="C18" s="1"/>
      <c r="D18" s="1"/>
      <c r="E18" s="1"/>
      <c r="F18" s="1"/>
      <c r="G18" s="1"/>
    </row>
    <row r="19" spans="1:21" x14ac:dyDescent="0.35">
      <c r="A19" s="1"/>
      <c r="B19" s="1"/>
      <c r="C19" s="1"/>
      <c r="D19" s="1"/>
      <c r="E19" s="1"/>
      <c r="F19" s="1"/>
      <c r="G19" s="1"/>
    </row>
    <row r="21" spans="1:21" x14ac:dyDescent="0.35">
      <c r="A21" s="9" t="s">
        <v>67</v>
      </c>
    </row>
    <row r="22" spans="1:21" x14ac:dyDescent="0.35">
      <c r="A22" s="2" t="s">
        <v>34</v>
      </c>
    </row>
    <row r="23" spans="1:21" x14ac:dyDescent="0.35">
      <c r="A23" s="2" t="s">
        <v>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35">
      <c r="A24" s="2" t="s">
        <v>1</v>
      </c>
    </row>
    <row r="25" spans="1:21" x14ac:dyDescent="0.35">
      <c r="A25" s="2" t="s">
        <v>2</v>
      </c>
    </row>
    <row r="26" spans="1:21" x14ac:dyDescent="0.35">
      <c r="A26" s="2" t="s">
        <v>3</v>
      </c>
    </row>
    <row r="27" spans="1:21" x14ac:dyDescent="0.35">
      <c r="A27" s="2" t="s">
        <v>4</v>
      </c>
    </row>
    <row r="28" spans="1:21" x14ac:dyDescent="0.35">
      <c r="A28" s="2" t="s">
        <v>5</v>
      </c>
    </row>
    <row r="29" spans="1:21" x14ac:dyDescent="0.35">
      <c r="A29" s="2" t="s">
        <v>6</v>
      </c>
    </row>
    <row r="30" spans="1:21" x14ac:dyDescent="0.35">
      <c r="A30" s="2" t="s">
        <v>7</v>
      </c>
    </row>
    <row r="31" spans="1:21" x14ac:dyDescent="0.35">
      <c r="A31" s="2" t="s">
        <v>8</v>
      </c>
    </row>
    <row r="32" spans="1:21" x14ac:dyDescent="0.35">
      <c r="A32" s="2" t="s">
        <v>9</v>
      </c>
    </row>
    <row r="33" spans="1:6" x14ac:dyDescent="0.35">
      <c r="A33" s="2" t="s">
        <v>10</v>
      </c>
    </row>
    <row r="34" spans="1:6" x14ac:dyDescent="0.35">
      <c r="A34" s="2" t="s">
        <v>11</v>
      </c>
    </row>
    <row r="35" spans="1:6" x14ac:dyDescent="0.35">
      <c r="A35" s="2" t="s">
        <v>12</v>
      </c>
    </row>
    <row r="36" spans="1:6" x14ac:dyDescent="0.35">
      <c r="A36" s="2" t="s">
        <v>13</v>
      </c>
    </row>
    <row r="37" spans="1:6" x14ac:dyDescent="0.35">
      <c r="A37" s="2" t="s">
        <v>14</v>
      </c>
    </row>
    <row r="38" spans="1:6" x14ac:dyDescent="0.35">
      <c r="A38" s="2" t="s">
        <v>15</v>
      </c>
    </row>
    <row r="39" spans="1:6" x14ac:dyDescent="0.35">
      <c r="A39" s="2" t="s">
        <v>16</v>
      </c>
    </row>
    <row r="40" spans="1:6" x14ac:dyDescent="0.35">
      <c r="A40" s="2" t="s">
        <v>17</v>
      </c>
    </row>
    <row r="41" spans="1:6" x14ac:dyDescent="0.35">
      <c r="A41" s="2" t="s">
        <v>18</v>
      </c>
    </row>
    <row r="42" spans="1:6" x14ac:dyDescent="0.35">
      <c r="A42" s="2" t="s">
        <v>19</v>
      </c>
    </row>
    <row r="44" spans="1:6" x14ac:dyDescent="0.35">
      <c r="A44" s="10" t="s">
        <v>68</v>
      </c>
    </row>
    <row r="45" spans="1:6" x14ac:dyDescent="0.35">
      <c r="A45" s="2" t="s">
        <v>38</v>
      </c>
      <c r="B45" s="1" t="s">
        <v>39</v>
      </c>
      <c r="C45" s="2" t="s">
        <v>40</v>
      </c>
      <c r="D45" s="1" t="s">
        <v>41</v>
      </c>
      <c r="E45" s="2" t="s">
        <v>42</v>
      </c>
      <c r="F45" s="1" t="s">
        <v>43</v>
      </c>
    </row>
    <row r="46" spans="1:6" x14ac:dyDescent="0.35">
      <c r="A46" s="2" t="s">
        <v>44</v>
      </c>
      <c r="B46" s="2">
        <v>1</v>
      </c>
      <c r="C46" s="2" t="str">
        <f t="shared" ref="C46:C62" si="0">A$81</f>
        <v>Sáng</v>
      </c>
      <c r="D46" s="2">
        <v>2</v>
      </c>
      <c r="E46" s="2" t="b">
        <f>B$81</f>
        <v>1</v>
      </c>
      <c r="F46" s="2" t="str">
        <f>A$67</f>
        <v>Tự Nhiên</v>
      </c>
    </row>
    <row r="47" spans="1:6" x14ac:dyDescent="0.35">
      <c r="A47" s="2" t="s">
        <v>47</v>
      </c>
      <c r="B47" s="2">
        <v>1</v>
      </c>
      <c r="C47" s="2" t="str">
        <f t="shared" si="0"/>
        <v>Sáng</v>
      </c>
      <c r="D47" s="2">
        <v>2</v>
      </c>
      <c r="E47" s="2" t="b">
        <f>B$81</f>
        <v>1</v>
      </c>
      <c r="F47" s="2" t="str">
        <f>A$66</f>
        <v>Xã Hội</v>
      </c>
    </row>
    <row r="48" spans="1:6" x14ac:dyDescent="0.35">
      <c r="A48" s="2" t="s">
        <v>48</v>
      </c>
      <c r="B48" s="2">
        <v>1</v>
      </c>
      <c r="C48" s="2" t="str">
        <f t="shared" si="0"/>
        <v>Sáng</v>
      </c>
      <c r="D48" s="2">
        <v>2</v>
      </c>
      <c r="E48" s="2" t="b">
        <f>B$81</f>
        <v>1</v>
      </c>
      <c r="F48" s="2" t="str">
        <f>A$66</f>
        <v>Xã Hội</v>
      </c>
    </row>
    <row r="49" spans="1:7" x14ac:dyDescent="0.35">
      <c r="A49" s="2" t="s">
        <v>49</v>
      </c>
      <c r="B49" s="2">
        <v>1</v>
      </c>
      <c r="C49" s="2" t="str">
        <f t="shared" si="0"/>
        <v>Sáng</v>
      </c>
      <c r="D49" s="2">
        <v>1</v>
      </c>
      <c r="E49" s="2" t="b">
        <f t="shared" ref="E49:E62" si="1">B$82</f>
        <v>0</v>
      </c>
      <c r="F49" s="2" t="str">
        <f>A$66</f>
        <v>Xã Hội</v>
      </c>
      <c r="G49" s="6"/>
    </row>
    <row r="50" spans="1:7" x14ac:dyDescent="0.35">
      <c r="A50" s="2" t="s">
        <v>50</v>
      </c>
      <c r="B50" s="2">
        <v>1</v>
      </c>
      <c r="C50" s="2" t="str">
        <f t="shared" si="0"/>
        <v>Sáng</v>
      </c>
      <c r="D50" s="2">
        <v>1</v>
      </c>
      <c r="E50" s="2" t="b">
        <f t="shared" si="1"/>
        <v>0</v>
      </c>
      <c r="F50" s="2" t="str">
        <f>A$66</f>
        <v>Xã Hội</v>
      </c>
    </row>
    <row r="51" spans="1:7" x14ac:dyDescent="0.35">
      <c r="A51" s="2" t="s">
        <v>51</v>
      </c>
      <c r="B51" s="2">
        <v>1</v>
      </c>
      <c r="C51" s="2" t="str">
        <f t="shared" si="0"/>
        <v>Sáng</v>
      </c>
      <c r="D51" s="2">
        <v>1</v>
      </c>
      <c r="E51" s="2" t="b">
        <f t="shared" si="1"/>
        <v>0</v>
      </c>
      <c r="F51" s="2" t="str">
        <f>A$67</f>
        <v>Tự Nhiên</v>
      </c>
    </row>
    <row r="52" spans="1:7" x14ac:dyDescent="0.35">
      <c r="A52" s="2" t="s">
        <v>52</v>
      </c>
      <c r="B52" s="2">
        <v>1</v>
      </c>
      <c r="C52" s="2" t="str">
        <f t="shared" si="0"/>
        <v>Sáng</v>
      </c>
      <c r="D52" s="2">
        <v>1</v>
      </c>
      <c r="E52" s="2" t="b">
        <f t="shared" si="1"/>
        <v>0</v>
      </c>
      <c r="F52" s="2" t="str">
        <f>A$67</f>
        <v>Tự Nhiên</v>
      </c>
    </row>
    <row r="53" spans="1:7" x14ac:dyDescent="0.35">
      <c r="A53" s="2" t="s">
        <v>53</v>
      </c>
      <c r="B53" s="2">
        <v>1</v>
      </c>
      <c r="C53" s="2" t="str">
        <f t="shared" si="0"/>
        <v>Sáng</v>
      </c>
      <c r="D53" s="2">
        <v>1</v>
      </c>
      <c r="E53" s="2" t="b">
        <f t="shared" si="1"/>
        <v>0</v>
      </c>
      <c r="F53" s="2" t="str">
        <f>A$67</f>
        <v>Tự Nhiên</v>
      </c>
    </row>
    <row r="54" spans="1:7" x14ac:dyDescent="0.35">
      <c r="A54" s="2" t="s">
        <v>54</v>
      </c>
      <c r="B54" s="2">
        <v>2</v>
      </c>
      <c r="C54" s="2" t="str">
        <f t="shared" si="0"/>
        <v>Sáng</v>
      </c>
      <c r="D54" s="2">
        <v>2</v>
      </c>
      <c r="E54" s="2" t="b">
        <f t="shared" si="1"/>
        <v>0</v>
      </c>
      <c r="F54" s="2" t="str">
        <f>A$67</f>
        <v>Tự Nhiên</v>
      </c>
    </row>
    <row r="55" spans="1:7" x14ac:dyDescent="0.35">
      <c r="A55" s="2" t="s">
        <v>55</v>
      </c>
      <c r="B55" s="2">
        <v>2</v>
      </c>
      <c r="C55" s="2" t="str">
        <f t="shared" si="0"/>
        <v>Sáng</v>
      </c>
      <c r="D55" s="2">
        <v>2</v>
      </c>
      <c r="E55" s="2" t="b">
        <f t="shared" si="1"/>
        <v>0</v>
      </c>
      <c r="F55" s="2" t="str">
        <f>A$66</f>
        <v>Xã Hội</v>
      </c>
    </row>
    <row r="56" spans="1:7" x14ac:dyDescent="0.35">
      <c r="A56" s="2" t="s">
        <v>62</v>
      </c>
      <c r="B56" s="2">
        <v>1</v>
      </c>
      <c r="C56" s="2" t="str">
        <f t="shared" si="0"/>
        <v>Sáng</v>
      </c>
      <c r="D56" s="2">
        <v>1</v>
      </c>
      <c r="E56" s="2" t="b">
        <f t="shared" si="1"/>
        <v>0</v>
      </c>
      <c r="F56" s="2" t="str">
        <f>A$66</f>
        <v>Xã Hội</v>
      </c>
    </row>
    <row r="57" spans="1:7" x14ac:dyDescent="0.35">
      <c r="A57" s="2" t="s">
        <v>56</v>
      </c>
      <c r="B57" s="2">
        <v>2</v>
      </c>
      <c r="C57" s="2" t="str">
        <f t="shared" si="0"/>
        <v>Sáng</v>
      </c>
      <c r="D57" s="2">
        <v>2</v>
      </c>
      <c r="E57" s="2" t="b">
        <f t="shared" si="1"/>
        <v>0</v>
      </c>
      <c r="F57" s="2" t="str">
        <f>A$66</f>
        <v>Xã Hội</v>
      </c>
    </row>
    <row r="58" spans="1:7" x14ac:dyDescent="0.35">
      <c r="A58" s="2" t="s">
        <v>57</v>
      </c>
      <c r="B58" s="2">
        <v>2</v>
      </c>
      <c r="C58" s="2" t="str">
        <f t="shared" si="0"/>
        <v>Sáng</v>
      </c>
      <c r="D58" s="2">
        <v>2</v>
      </c>
      <c r="E58" s="2" t="b">
        <f t="shared" si="1"/>
        <v>0</v>
      </c>
      <c r="F58" s="2" t="str">
        <f>A$66</f>
        <v>Xã Hội</v>
      </c>
    </row>
    <row r="59" spans="1:7" x14ac:dyDescent="0.35">
      <c r="A59" s="2" t="s">
        <v>58</v>
      </c>
      <c r="B59" s="2">
        <v>2</v>
      </c>
      <c r="C59" s="2" t="str">
        <f t="shared" si="0"/>
        <v>Sáng</v>
      </c>
      <c r="D59" s="2">
        <v>2</v>
      </c>
      <c r="E59" s="2" t="b">
        <f t="shared" si="1"/>
        <v>0</v>
      </c>
      <c r="F59" s="2" t="str">
        <f>A$67</f>
        <v>Tự Nhiên</v>
      </c>
    </row>
    <row r="60" spans="1:7" x14ac:dyDescent="0.35">
      <c r="A60" s="2" t="s">
        <v>59</v>
      </c>
      <c r="B60" s="2">
        <v>2</v>
      </c>
      <c r="C60" s="2" t="str">
        <f t="shared" si="0"/>
        <v>Sáng</v>
      </c>
      <c r="D60" s="2">
        <v>2</v>
      </c>
      <c r="E60" s="2" t="b">
        <f t="shared" si="1"/>
        <v>0</v>
      </c>
      <c r="F60" s="2" t="str">
        <f>A$67</f>
        <v>Tự Nhiên</v>
      </c>
    </row>
    <row r="61" spans="1:7" x14ac:dyDescent="0.35">
      <c r="A61" s="2" t="s">
        <v>60</v>
      </c>
      <c r="B61" s="2">
        <v>1</v>
      </c>
      <c r="C61" s="2" t="str">
        <f t="shared" si="0"/>
        <v>Sáng</v>
      </c>
      <c r="D61" s="2">
        <v>1</v>
      </c>
      <c r="E61" s="2" t="b">
        <f t="shared" si="1"/>
        <v>0</v>
      </c>
      <c r="F61" s="2" t="str">
        <f>A$67</f>
        <v>Tự Nhiên</v>
      </c>
    </row>
    <row r="62" spans="1:7" x14ac:dyDescent="0.35">
      <c r="A62" s="2" t="s">
        <v>61</v>
      </c>
      <c r="B62" s="2">
        <v>1</v>
      </c>
      <c r="C62" s="2" t="str">
        <f t="shared" si="0"/>
        <v>Sáng</v>
      </c>
      <c r="D62" s="2">
        <v>1</v>
      </c>
      <c r="E62" s="2" t="b">
        <f t="shared" si="1"/>
        <v>0</v>
      </c>
      <c r="F62" s="2" t="str">
        <f>A$67</f>
        <v>Tự Nhiên</v>
      </c>
    </row>
    <row r="64" spans="1:7" x14ac:dyDescent="0.35">
      <c r="A64" s="9" t="s">
        <v>69</v>
      </c>
    </row>
    <row r="65" spans="1:6" x14ac:dyDescent="0.35">
      <c r="A65" s="5" t="s">
        <v>35</v>
      </c>
      <c r="B65" s="7"/>
      <c r="C65" s="6"/>
      <c r="D65" s="6"/>
    </row>
    <row r="66" spans="1:6" x14ac:dyDescent="0.35">
      <c r="A66" s="2" t="s">
        <v>36</v>
      </c>
    </row>
    <row r="67" spans="1:6" x14ac:dyDescent="0.35">
      <c r="A67" s="18" t="s">
        <v>37</v>
      </c>
    </row>
    <row r="68" spans="1:6" x14ac:dyDescent="0.35">
      <c r="A68" s="19"/>
      <c r="C68" s="6"/>
      <c r="D68" s="6"/>
      <c r="E68" s="6"/>
      <c r="F68" s="6"/>
    </row>
    <row r="70" spans="1:6" x14ac:dyDescent="0.35">
      <c r="A70" s="10" t="s">
        <v>64</v>
      </c>
    </row>
    <row r="71" spans="1:6" x14ac:dyDescent="0.35">
      <c r="A71" s="5" t="s">
        <v>64</v>
      </c>
      <c r="B71" s="7"/>
    </row>
    <row r="72" spans="1:6" x14ac:dyDescent="0.35">
      <c r="A72" s="5" t="s">
        <v>23</v>
      </c>
      <c r="B72" s="8"/>
    </row>
    <row r="73" spans="1:6" x14ac:dyDescent="0.35">
      <c r="A73" s="5" t="s">
        <v>22</v>
      </c>
      <c r="B73" s="8"/>
    </row>
    <row r="74" spans="1:6" x14ac:dyDescent="0.35">
      <c r="A74" s="5" t="s">
        <v>24</v>
      </c>
      <c r="B74" s="8"/>
    </row>
    <row r="75" spans="1:6" x14ac:dyDescent="0.35">
      <c r="A75" s="5" t="s">
        <v>25</v>
      </c>
      <c r="B75" s="8"/>
    </row>
    <row r="76" spans="1:6" x14ac:dyDescent="0.35">
      <c r="A76" s="5" t="s">
        <v>26</v>
      </c>
      <c r="B76" s="8"/>
    </row>
    <row r="77" spans="1:6" x14ac:dyDescent="0.35">
      <c r="A77" s="5" t="s">
        <v>27</v>
      </c>
      <c r="B77" s="8"/>
      <c r="C77" s="6"/>
    </row>
    <row r="78" spans="1:6" x14ac:dyDescent="0.35">
      <c r="C78" s="6"/>
    </row>
    <row r="79" spans="1:6" x14ac:dyDescent="0.35">
      <c r="A79" s="9" t="s">
        <v>70</v>
      </c>
    </row>
    <row r="80" spans="1:6" x14ac:dyDescent="0.35">
      <c r="A80" s="2" t="s">
        <v>45</v>
      </c>
      <c r="B80" s="2" t="s">
        <v>46</v>
      </c>
    </row>
    <row r="81" spans="1:2" x14ac:dyDescent="0.35">
      <c r="A81" s="2" t="s">
        <v>20</v>
      </c>
      <c r="B81" s="2" t="b">
        <f>TRUE</f>
        <v>1</v>
      </c>
    </row>
    <row r="82" spans="1:2" x14ac:dyDescent="0.35">
      <c r="A82" s="2" t="s">
        <v>21</v>
      </c>
      <c r="B82" s="1" t="b">
        <f>FALSE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021-A1FC-47A8-882A-E3DB26CDCC96}">
  <dimension ref="A4:V73"/>
  <sheetViews>
    <sheetView topLeftCell="C1" workbookViewId="0">
      <selection activeCell="O1" sqref="O1"/>
    </sheetView>
  </sheetViews>
  <sheetFormatPr defaultRowHeight="14.5" x14ac:dyDescent="0.35"/>
  <sheetData>
    <row r="4" spans="1:22" x14ac:dyDescent="0.35">
      <c r="C4" s="15" t="s">
        <v>23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7"/>
    </row>
    <row r="5" spans="1:22" x14ac:dyDescent="0.35">
      <c r="B5" s="1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x14ac:dyDescent="0.35">
      <c r="A6" s="11" t="s">
        <v>20</v>
      </c>
      <c r="B6" s="3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1"/>
      <c r="B7" s="3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1"/>
      <c r="B8" s="3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1"/>
      <c r="B9" s="3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11"/>
      <c r="B10" s="3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12" t="s">
        <v>21</v>
      </c>
      <c r="B11" s="3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13"/>
      <c r="B12" s="4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14"/>
      <c r="B13" s="4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6" spans="1:22" x14ac:dyDescent="0.35">
      <c r="C16" s="15" t="s">
        <v>22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7"/>
    </row>
    <row r="17" spans="1:22" x14ac:dyDescent="0.35">
      <c r="B17" s="1"/>
      <c r="C17" s="2" t="s">
        <v>0</v>
      </c>
      <c r="D17" s="2" t="s">
        <v>1</v>
      </c>
      <c r="E17" s="2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Q17" s="2" t="s">
        <v>14</v>
      </c>
      <c r="R17" s="2" t="s">
        <v>15</v>
      </c>
      <c r="S17" s="2" t="s">
        <v>16</v>
      </c>
      <c r="T17" s="2" t="s">
        <v>17</v>
      </c>
      <c r="U17" s="2" t="s">
        <v>18</v>
      </c>
      <c r="V17" s="2" t="s">
        <v>19</v>
      </c>
    </row>
    <row r="18" spans="1:22" x14ac:dyDescent="0.35">
      <c r="A18" s="11" t="s">
        <v>20</v>
      </c>
      <c r="B18" s="3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1"/>
      <c r="B19" s="3">
        <v>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1"/>
      <c r="B20" s="3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1"/>
      <c r="B21" s="3">
        <v>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1"/>
      <c r="B22" s="3">
        <v>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12" t="s">
        <v>21</v>
      </c>
      <c r="B23" s="3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3"/>
      <c r="B24" s="4">
        <v>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4"/>
      <c r="B25" s="4">
        <v>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8" spans="1:22" x14ac:dyDescent="0.35">
      <c r="C28" s="15" t="s">
        <v>24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7"/>
    </row>
    <row r="29" spans="1:22" x14ac:dyDescent="0.35">
      <c r="B29" s="1"/>
      <c r="C29" s="2" t="s">
        <v>0</v>
      </c>
      <c r="D29" s="2" t="s">
        <v>1</v>
      </c>
      <c r="E29" s="2" t="s">
        <v>2</v>
      </c>
      <c r="F29" s="2" t="s">
        <v>3</v>
      </c>
      <c r="G29" s="2" t="s">
        <v>4</v>
      </c>
      <c r="H29" s="2" t="s">
        <v>5</v>
      </c>
      <c r="I29" s="2" t="s">
        <v>6</v>
      </c>
      <c r="J29" s="2" t="s">
        <v>7</v>
      </c>
      <c r="K29" s="2" t="s">
        <v>8</v>
      </c>
      <c r="L29" s="2" t="s">
        <v>9</v>
      </c>
      <c r="M29" s="2" t="s">
        <v>10</v>
      </c>
      <c r="N29" s="2" t="s">
        <v>11</v>
      </c>
      <c r="O29" s="2" t="s">
        <v>12</v>
      </c>
      <c r="P29" s="2" t="s">
        <v>13</v>
      </c>
      <c r="Q29" s="2" t="s">
        <v>14</v>
      </c>
      <c r="R29" s="2" t="s">
        <v>15</v>
      </c>
      <c r="S29" s="2" t="s">
        <v>16</v>
      </c>
      <c r="T29" s="2" t="s">
        <v>17</v>
      </c>
      <c r="U29" s="2" t="s">
        <v>18</v>
      </c>
      <c r="V29" s="2" t="s">
        <v>19</v>
      </c>
    </row>
    <row r="30" spans="1:22" x14ac:dyDescent="0.35">
      <c r="A30" s="11" t="s">
        <v>20</v>
      </c>
      <c r="B30" s="3">
        <v>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11"/>
      <c r="B31" s="3">
        <v>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11"/>
      <c r="B32" s="3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11"/>
      <c r="B33" s="3">
        <v>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11"/>
      <c r="B34" s="3">
        <v>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12" t="s">
        <v>21</v>
      </c>
      <c r="B35" s="3">
        <v>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13"/>
      <c r="B36" s="4">
        <v>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14"/>
      <c r="B37" s="4">
        <v>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40" spans="1:22" x14ac:dyDescent="0.35">
      <c r="C40" s="15" t="s">
        <v>25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7"/>
    </row>
    <row r="41" spans="1:22" x14ac:dyDescent="0.35">
      <c r="B41" s="1"/>
      <c r="C41" s="2" t="s">
        <v>0</v>
      </c>
      <c r="D41" s="2" t="s">
        <v>1</v>
      </c>
      <c r="E41" s="2" t="s">
        <v>2</v>
      </c>
      <c r="F41" s="2" t="s">
        <v>3</v>
      </c>
      <c r="G41" s="2" t="s">
        <v>4</v>
      </c>
      <c r="H41" s="2" t="s">
        <v>5</v>
      </c>
      <c r="I41" s="2" t="s">
        <v>6</v>
      </c>
      <c r="J41" s="2" t="s">
        <v>7</v>
      </c>
      <c r="K41" s="2" t="s">
        <v>8</v>
      </c>
      <c r="L41" s="2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2" t="s">
        <v>15</v>
      </c>
      <c r="S41" s="2" t="s">
        <v>16</v>
      </c>
      <c r="T41" s="2" t="s">
        <v>17</v>
      </c>
      <c r="U41" s="2" t="s">
        <v>18</v>
      </c>
      <c r="V41" s="2" t="s">
        <v>19</v>
      </c>
    </row>
    <row r="42" spans="1:22" x14ac:dyDescent="0.35">
      <c r="A42" s="11" t="s">
        <v>20</v>
      </c>
      <c r="B42" s="3">
        <v>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11"/>
      <c r="B43" s="3">
        <v>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11"/>
      <c r="B44" s="3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11"/>
      <c r="B45" s="3">
        <v>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11"/>
      <c r="B46" s="3">
        <v>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12" t="s">
        <v>21</v>
      </c>
      <c r="B47" s="3">
        <v>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13"/>
      <c r="B48" s="4">
        <v>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A49" s="14"/>
      <c r="B49" s="4">
        <v>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2" spans="1:22" x14ac:dyDescent="0.35">
      <c r="C52" s="15" t="s">
        <v>26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7"/>
    </row>
    <row r="53" spans="1:22" x14ac:dyDescent="0.35">
      <c r="B53" s="1"/>
      <c r="C53" s="2" t="s">
        <v>0</v>
      </c>
      <c r="D53" s="2" t="s">
        <v>1</v>
      </c>
      <c r="E53" s="2" t="s">
        <v>2</v>
      </c>
      <c r="F53" s="2" t="s">
        <v>3</v>
      </c>
      <c r="G53" s="2" t="s">
        <v>4</v>
      </c>
      <c r="H53" s="2" t="s">
        <v>5</v>
      </c>
      <c r="I53" s="2" t="s">
        <v>6</v>
      </c>
      <c r="J53" s="2" t="s">
        <v>7</v>
      </c>
      <c r="K53" s="2" t="s">
        <v>8</v>
      </c>
      <c r="L53" s="2" t="s">
        <v>9</v>
      </c>
      <c r="M53" s="2" t="s">
        <v>10</v>
      </c>
      <c r="N53" s="2" t="s">
        <v>11</v>
      </c>
      <c r="O53" s="2" t="s">
        <v>12</v>
      </c>
      <c r="P53" s="2" t="s">
        <v>13</v>
      </c>
      <c r="Q53" s="2" t="s">
        <v>14</v>
      </c>
      <c r="R53" s="2" t="s">
        <v>15</v>
      </c>
      <c r="S53" s="2" t="s">
        <v>16</v>
      </c>
      <c r="T53" s="2" t="s">
        <v>17</v>
      </c>
      <c r="U53" s="2" t="s">
        <v>18</v>
      </c>
      <c r="V53" s="2" t="s">
        <v>19</v>
      </c>
    </row>
    <row r="54" spans="1:22" x14ac:dyDescent="0.35">
      <c r="A54" s="11" t="s">
        <v>20</v>
      </c>
      <c r="B54" s="3">
        <v>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A55" s="11"/>
      <c r="B55" s="3">
        <v>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A56" s="11"/>
      <c r="B56" s="3">
        <v>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A57" s="11"/>
      <c r="B57" s="3">
        <v>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5">
      <c r="A58" s="11"/>
      <c r="B58" s="3">
        <v>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A59" s="12" t="s">
        <v>21</v>
      </c>
      <c r="B59" s="3">
        <v>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A60" s="13"/>
      <c r="B60" s="4">
        <v>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A61" s="14"/>
      <c r="B61" s="4">
        <v>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4" spans="1:22" x14ac:dyDescent="0.35">
      <c r="C64" s="15" t="s">
        <v>27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7"/>
    </row>
    <row r="65" spans="1:22" x14ac:dyDescent="0.35">
      <c r="B65" s="1"/>
      <c r="C65" s="2" t="s">
        <v>0</v>
      </c>
      <c r="D65" s="2" t="s">
        <v>1</v>
      </c>
      <c r="E65" s="2" t="s">
        <v>2</v>
      </c>
      <c r="F65" s="2" t="s">
        <v>3</v>
      </c>
      <c r="G65" s="2" t="s">
        <v>4</v>
      </c>
      <c r="H65" s="2" t="s">
        <v>5</v>
      </c>
      <c r="I65" s="2" t="s">
        <v>6</v>
      </c>
      <c r="J65" s="2" t="s">
        <v>7</v>
      </c>
      <c r="K65" s="2" t="s">
        <v>8</v>
      </c>
      <c r="L65" s="2" t="s">
        <v>9</v>
      </c>
      <c r="M65" s="2" t="s">
        <v>10</v>
      </c>
      <c r="N65" s="2" t="s">
        <v>11</v>
      </c>
      <c r="O65" s="2" t="s">
        <v>12</v>
      </c>
      <c r="P65" s="2" t="s">
        <v>13</v>
      </c>
      <c r="Q65" s="2" t="s">
        <v>14</v>
      </c>
      <c r="R65" s="2" t="s">
        <v>15</v>
      </c>
      <c r="S65" s="2" t="s">
        <v>16</v>
      </c>
      <c r="T65" s="2" t="s">
        <v>17</v>
      </c>
      <c r="U65" s="2" t="s">
        <v>18</v>
      </c>
      <c r="V65" s="2" t="s">
        <v>19</v>
      </c>
    </row>
    <row r="66" spans="1:22" x14ac:dyDescent="0.35">
      <c r="A66" s="11" t="s">
        <v>20</v>
      </c>
      <c r="B66" s="3">
        <v>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1"/>
      <c r="B67" s="3">
        <v>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1"/>
      <c r="B68" s="3">
        <v>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1"/>
      <c r="B69" s="3">
        <v>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1"/>
      <c r="B70" s="3">
        <v>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2" t="s">
        <v>21</v>
      </c>
      <c r="B71" s="3">
        <v>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3"/>
      <c r="B72" s="4">
        <v>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4"/>
      <c r="B73" s="4">
        <v>8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</sheetData>
  <mergeCells count="18">
    <mergeCell ref="C4:V4"/>
    <mergeCell ref="A6:A10"/>
    <mergeCell ref="A11:A13"/>
    <mergeCell ref="C16:V16"/>
    <mergeCell ref="A18:A22"/>
    <mergeCell ref="A23:A25"/>
    <mergeCell ref="C28:V28"/>
    <mergeCell ref="A30:A34"/>
    <mergeCell ref="A35:A37"/>
    <mergeCell ref="C64:V64"/>
    <mergeCell ref="A66:A70"/>
    <mergeCell ref="A71:A73"/>
    <mergeCell ref="C40:V40"/>
    <mergeCell ref="A42:A46"/>
    <mergeCell ref="A47:A49"/>
    <mergeCell ref="C52:V52"/>
    <mergeCell ref="A54:A58"/>
    <mergeCell ref="A59:A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2015-06-05T18:17:20Z</dcterms:created>
  <dcterms:modified xsi:type="dcterms:W3CDTF">2024-07-29T04:36:39Z</dcterms:modified>
</cp:coreProperties>
</file>